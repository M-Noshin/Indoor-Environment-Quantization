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hamza/Documents/GitHub/Indoor-Environment-Quantization/inference/indoor_env_1d_e2e/"/>
    </mc:Choice>
  </mc:AlternateContent>
  <xr:revisionPtr revIDLastSave="0" documentId="13_ncr:20001_{7DE681B8-E9EB-B941-AEFF-1F0955C985D8}" xr6:coauthVersionLast="47" xr6:coauthVersionMax="47" xr10:uidLastSave="{00000000-0000-0000-0000-000000000000}"/>
  <bookViews>
    <workbookView xWindow="20" yWindow="500" windowWidth="28800" windowHeight="16020" xr2:uid="{00000000-000D-0000-FFFF-FFFF00000000}"/>
  </bookViews>
  <sheets>
    <sheet name="prep_energy" sheetId="1" r:id="rId1"/>
    <sheet name="method" sheetId="2" r:id="rId2"/>
  </sheets>
  <definedNames>
    <definedName name="_xlnm._FilterDatabase" localSheetId="0" hidden="1">prep_energy!$A$1:$J$7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" l="1"/>
  <c r="H7" i="1"/>
  <c r="E7" i="1"/>
  <c r="D7" i="1"/>
  <c r="I6" i="1"/>
  <c r="H6" i="1"/>
  <c r="E6" i="1"/>
  <c r="D6" i="1"/>
  <c r="I5" i="1"/>
  <c r="H5" i="1"/>
  <c r="E5" i="1"/>
  <c r="D5" i="1"/>
  <c r="I4" i="1"/>
  <c r="H4" i="1"/>
  <c r="E4" i="1"/>
  <c r="D4" i="1"/>
  <c r="I3" i="1"/>
  <c r="H3" i="1"/>
  <c r="E3" i="1"/>
  <c r="D3" i="1"/>
  <c r="I2" i="1"/>
  <c r="H2" i="1"/>
  <c r="E2" i="1"/>
  <c r="D2" i="1"/>
  <c r="J3" i="1" l="1"/>
  <c r="J4" i="1"/>
  <c r="J6" i="1"/>
  <c r="J7" i="1"/>
  <c r="J5" i="1"/>
  <c r="J2" i="1"/>
</calcChain>
</file>

<file path=xl/sharedStrings.xml><?xml version="1.0" encoding="utf-8"?>
<sst xmlns="http://schemas.openxmlformats.org/spreadsheetml/2006/main" count="30" uniqueCount="26">
  <si>
    <t>alpha</t>
  </si>
  <si>
    <t>UART_T_prep_us</t>
  </si>
  <si>
    <t>P_prep_mW_mode7</t>
  </si>
  <si>
    <t>E_prep_uJ</t>
  </si>
  <si>
    <t>E_prep_nJ</t>
  </si>
  <si>
    <t>UART_T_act_us</t>
  </si>
  <si>
    <t>P_act_mW_mode2</t>
  </si>
  <si>
    <t>E_act_uJ</t>
  </si>
  <si>
    <t>E_act_nJ</t>
  </si>
  <si>
    <t>E_prep_plus_act_uJ</t>
  </si>
  <si>
    <t>Purpose</t>
  </si>
  <si>
    <t>Record MAX78002 M4F-side prep and activation System Power readings and compute per-call total stage energy.</t>
  </si>
  <si>
    <t>Use one row per alpha</t>
  </si>
  <si>
    <t>Fill yellow cells. Green cells are formulas. The optional idle column is not used by any formula.</t>
  </si>
  <si>
    <t>From the normal/default e2e UART run: T_prep mean/last in microseconds. No E2E_SYS_PMON_MODE.</t>
  </si>
  <si>
    <t>PMON System Power mW from firmware built with PROJ_CFLAGS += -DE2E_SYS_PMON_MODE=7. Send s on PMON. Record only stable mW; ignore PMON T/E if corrupted.</t>
  </si>
  <si>
    <t>E_prep formula</t>
  </si>
  <si>
    <t>E_prep_uJ = P_prep_mW_mode7 * UART_T_prep_us / 1000. This is total System Power energy during the prep stage, not idle-subtracted energy.</t>
  </si>
  <si>
    <t>From the normal/default e2e UART run: T_act mean/last in microseconds. No E2E_SYS_PMON_MODE.</t>
  </si>
  <si>
    <t>PMON System Power mW from firmware built with PROJ_CFLAGS += -DE2E_SYS_PMON_MODE=2. Use a large rep override if needed, e.g. -DE2E_SYS_PMON_REPS=10000000. Send s on PMON.</t>
  </si>
  <si>
    <t>E_act formula</t>
  </si>
  <si>
    <t>E_act_uJ = P_act_mW_mode2 * UART_T_act_us / 1000.</t>
  </si>
  <si>
    <t>Idle column</t>
  </si>
  <si>
    <t>idle_mW_optional_note is only for diagnostics. It is not required and is not subtracted.</t>
  </si>
  <si>
    <t>Mode summary</t>
  </si>
  <si>
    <t>prep power: mode 7; activation power: mode 2; UART times: default firmware. Mode 8 is no longer required for the reported calculations.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</si>
</sst>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1" fillId="2" borderId="0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zoomScale="125" workbookViewId="0">
      <pane ySplit="1" topLeftCell="A2" activePane="bottomLeft" state="frozen"/>
      <selection pane="bottomLeft" activeCell="C3" sqref="C3"/>
    </sheetView>
  </sheetViews>
  <sheetFormatPr baseColWidth="10" defaultColWidth="8.83203125" defaultRowHeight="15" x14ac:dyDescent="0.2"/>
  <cols>
    <col min="1" max="1" width="13" customWidth="1"/>
    <col min="2" max="2" width="16" customWidth="1"/>
    <col min="3" max="3" width="21.83203125" customWidth="1"/>
    <col min="4" max="4" width="20.6640625" customWidth="1"/>
    <col min="5" max="5" width="17.83203125" customWidth="1"/>
    <col min="6" max="6" width="23.33203125" customWidth="1"/>
    <col min="7" max="7" width="22.6640625" customWidth="1"/>
    <col min="8" max="8" width="13" customWidth="1"/>
    <col min="9" max="9" width="16.83203125" customWidth="1"/>
    <col min="10" max="10" width="23.5" customWidth="1"/>
    <col min="11" max="11" width="24" customWidth="1"/>
    <col min="12" max="12" width="28" customWidth="1"/>
  </cols>
  <sheetData>
    <row r="1" spans="1:10" ht="16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">
      <c r="A2" s="4">
        <v>101</v>
      </c>
      <c r="B2" s="5">
        <v>52.01</v>
      </c>
      <c r="C2" s="5">
        <v>9.99</v>
      </c>
      <c r="D2" s="6">
        <f t="shared" ref="D2:D7" si="0">IF(OR(B2="",C2=""),"",C2*B2/1000)</f>
        <v>0.51957989999999998</v>
      </c>
      <c r="E2" s="6">
        <f t="shared" ref="E2:E7" si="1">IF(OR(B2="",C2=""),"",C2*B2)</f>
        <v>519.57989999999995</v>
      </c>
      <c r="F2" s="5">
        <v>5.01</v>
      </c>
      <c r="G2" s="5">
        <v>74</v>
      </c>
      <c r="H2" s="6">
        <f t="shared" ref="H2:H7" si="2">IF(OR(F2="",G2=""),"",G2*F2/1000)</f>
        <v>0.37074000000000001</v>
      </c>
      <c r="I2" s="6">
        <f t="shared" ref="I2:I7" si="3">IF(OR(F2="",G2=""),"",G2*F2)</f>
        <v>370.74</v>
      </c>
      <c r="J2" s="6">
        <f t="shared" ref="J2:J7" si="4">IF(OR(D2="",H2=""),"",D2+H2)</f>
        <v>0.89031989999999994</v>
      </c>
    </row>
    <row r="3" spans="1:10" x14ac:dyDescent="0.2">
      <c r="A3" s="4">
        <v>91</v>
      </c>
      <c r="B3" s="5">
        <v>46.03</v>
      </c>
      <c r="C3" s="5">
        <v>10</v>
      </c>
      <c r="D3" s="6">
        <f t="shared" si="0"/>
        <v>0.46029999999999999</v>
      </c>
      <c r="E3" s="6">
        <f t="shared" si="1"/>
        <v>460.3</v>
      </c>
      <c r="F3" s="5">
        <v>5.01</v>
      </c>
      <c r="G3" s="5">
        <v>73.069000000000003</v>
      </c>
      <c r="H3" s="6">
        <f t="shared" si="2"/>
        <v>0.36607569000000001</v>
      </c>
      <c r="I3" s="6">
        <f t="shared" si="3"/>
        <v>366.07569000000001</v>
      </c>
      <c r="J3" s="6">
        <f t="shared" si="4"/>
        <v>0.82637569</v>
      </c>
    </row>
    <row r="4" spans="1:10" x14ac:dyDescent="0.2">
      <c r="A4" s="4">
        <v>51</v>
      </c>
      <c r="B4" s="5">
        <v>27.01</v>
      </c>
      <c r="C4" s="5">
        <v>9.98</v>
      </c>
      <c r="D4" s="6">
        <f t="shared" si="0"/>
        <v>0.26955980000000007</v>
      </c>
      <c r="E4" s="6">
        <f t="shared" si="1"/>
        <v>269.55980000000005</v>
      </c>
      <c r="F4" s="5">
        <v>5.01</v>
      </c>
      <c r="G4" s="5">
        <v>72.435000000000002</v>
      </c>
      <c r="H4" s="6">
        <f t="shared" si="2"/>
        <v>0.36289934999999995</v>
      </c>
      <c r="I4" s="6">
        <f t="shared" si="3"/>
        <v>362.89934999999997</v>
      </c>
      <c r="J4" s="6">
        <f t="shared" si="4"/>
        <v>0.63245915000000008</v>
      </c>
    </row>
    <row r="5" spans="1:10" x14ac:dyDescent="0.2">
      <c r="A5" s="4">
        <v>21</v>
      </c>
      <c r="B5" s="5">
        <v>11.01</v>
      </c>
      <c r="C5" s="5">
        <v>9.9499999999999993</v>
      </c>
      <c r="D5" s="6">
        <f t="shared" si="0"/>
        <v>0.10954949999999999</v>
      </c>
      <c r="E5" s="6">
        <f t="shared" si="1"/>
        <v>109.54949999999999</v>
      </c>
      <c r="F5" s="5">
        <v>5.01</v>
      </c>
      <c r="G5" s="5">
        <v>71.525000000000006</v>
      </c>
      <c r="H5" s="6">
        <f t="shared" si="2"/>
        <v>0.35834025000000003</v>
      </c>
      <c r="I5" s="6">
        <f t="shared" si="3"/>
        <v>358.34025000000003</v>
      </c>
      <c r="J5" s="6">
        <f t="shared" si="4"/>
        <v>0.46788974999999999</v>
      </c>
    </row>
    <row r="6" spans="1:10" x14ac:dyDescent="0.2">
      <c r="A6" s="4">
        <v>11</v>
      </c>
      <c r="B6" s="5">
        <v>6.01</v>
      </c>
      <c r="C6" s="5">
        <v>9.9499999999999993</v>
      </c>
      <c r="D6" s="6">
        <f t="shared" si="0"/>
        <v>5.9799499999999992E-2</v>
      </c>
      <c r="E6" s="6">
        <f t="shared" si="1"/>
        <v>59.799499999999995</v>
      </c>
      <c r="F6" s="5">
        <v>5.01</v>
      </c>
      <c r="G6" s="5">
        <v>72.456000000000003</v>
      </c>
      <c r="H6" s="6">
        <f t="shared" si="2"/>
        <v>0.36300456000000003</v>
      </c>
      <c r="I6" s="6">
        <f t="shared" si="3"/>
        <v>363.00456000000003</v>
      </c>
      <c r="J6" s="6">
        <f t="shared" si="4"/>
        <v>0.42280406000000004</v>
      </c>
    </row>
    <row r="7" spans="1:10" x14ac:dyDescent="0.2">
      <c r="A7" s="4">
        <v>5</v>
      </c>
      <c r="B7" s="5">
        <v>3.01</v>
      </c>
      <c r="C7" s="5">
        <v>10</v>
      </c>
      <c r="D7" s="6">
        <f t="shared" si="0"/>
        <v>3.0099999999999998E-2</v>
      </c>
      <c r="E7" s="6">
        <f t="shared" si="1"/>
        <v>30.099999999999998</v>
      </c>
      <c r="F7" s="5">
        <v>5.01</v>
      </c>
      <c r="G7" s="5">
        <v>72.358999999999995</v>
      </c>
      <c r="H7" s="6">
        <f t="shared" si="2"/>
        <v>0.36251858999999997</v>
      </c>
      <c r="I7" s="6">
        <f t="shared" si="3"/>
        <v>362.51858999999996</v>
      </c>
      <c r="J7" s="6">
        <f t="shared" si="4"/>
        <v>0.39261858999999999</v>
      </c>
    </row>
  </sheetData>
  <autoFilter ref="A1:L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baseColWidth="10" defaultColWidth="8.83203125" defaultRowHeight="15" x14ac:dyDescent="0.2"/>
  <cols>
    <col min="1" max="1" width="24" customWidth="1"/>
    <col min="2" max="2" width="115" customWidth="1"/>
  </cols>
  <sheetData>
    <row r="1" spans="1:2" ht="16" customHeight="1" x14ac:dyDescent="0.2">
      <c r="A1" s="2" t="s">
        <v>10</v>
      </c>
      <c r="B1" s="1" t="s">
        <v>11</v>
      </c>
    </row>
    <row r="2" spans="1:2" ht="16" customHeight="1" x14ac:dyDescent="0.2">
      <c r="A2" s="2" t="s">
        <v>12</v>
      </c>
      <c r="B2" s="1" t="s">
        <v>13</v>
      </c>
    </row>
    <row r="3" spans="1:2" ht="16" customHeight="1" x14ac:dyDescent="0.2">
      <c r="A3" s="2" t="s">
        <v>1</v>
      </c>
      <c r="B3" s="1" t="s">
        <v>14</v>
      </c>
    </row>
    <row r="4" spans="1:2" ht="16" customHeight="1" x14ac:dyDescent="0.2">
      <c r="A4" s="2" t="s">
        <v>2</v>
      </c>
      <c r="B4" s="1" t="s">
        <v>15</v>
      </c>
    </row>
    <row r="5" spans="1:2" ht="16" customHeight="1" x14ac:dyDescent="0.2">
      <c r="A5" s="2" t="s">
        <v>16</v>
      </c>
      <c r="B5" s="1" t="s">
        <v>17</v>
      </c>
    </row>
    <row r="6" spans="1:2" ht="16" customHeight="1" x14ac:dyDescent="0.2">
      <c r="A6" s="2" t="s">
        <v>5</v>
      </c>
      <c r="B6" s="1" t="s">
        <v>18</v>
      </c>
    </row>
    <row r="7" spans="1:2" ht="16" customHeight="1" x14ac:dyDescent="0.2">
      <c r="A7" s="2" t="s">
        <v>6</v>
      </c>
      <c r="B7" s="1" t="s">
        <v>19</v>
      </c>
    </row>
    <row r="8" spans="1:2" ht="16" x14ac:dyDescent="0.2">
      <c r="A8" s="2" t="s">
        <v>20</v>
      </c>
      <c r="B8" s="1" t="s">
        <v>21</v>
      </c>
    </row>
    <row r="9" spans="1:2" ht="16" x14ac:dyDescent="0.2">
      <c r="A9" s="2" t="s">
        <v>22</v>
      </c>
      <c r="B9" s="1" t="s">
        <v>23</v>
      </c>
    </row>
    <row r="10" spans="1:2" ht="16" x14ac:dyDescent="0.2">
      <c r="A10" s="2" t="s">
        <v>24</v>
      </c>
      <c r="B10" s="1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prep_energy</vt:lpstr>
      <vt:lpstr>method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Hamza Abushahla</cp:lastModifiedBy>
  <dcterms:created xsi:type="dcterms:W3CDTF">2026-05-21T07:22:06Z</dcterms:created>
  <dcterms:modified xsi:type="dcterms:W3CDTF">2026-05-21T10:52:53Z</dcterms:modified>
</cp:coreProperties>
</file>